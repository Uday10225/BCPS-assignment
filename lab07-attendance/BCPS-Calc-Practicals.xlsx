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heet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Salary" sheetId="3" state="visible" r:id="rId3"/>
    <sheet xmlns:r="http://schemas.openxmlformats.org/officeDocument/2006/relationships" name="Inventory" sheetId="4" state="visible" r:id="rId4"/>
  </sheets>
  <definedNames>
    <definedName name="_xlnm._FilterDatabase" localSheetId="0" hidden="1">'Marksheet'!$A$1:$F$6</definedName>
    <definedName name="_xlnm._FilterDatabase" localSheetId="1" hidden="1">'Attendance'!$A$1:$F$6</definedName>
    <definedName name="_xlnm._FilterDatabase" localSheetId="2" hidden="1">'Salary'!$A$1:$C$6</definedName>
    <definedName name="_xlnm._FilterDatabase" localSheetId="3" hidden="1">'Inventory'!$A$1:$D$6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3" customWidth="1" min="7" max="7"/>
    <col width="17" customWidth="1" min="8" max="8"/>
    <col width="25" customWidth="1" min="9" max="9"/>
  </cols>
  <sheetData>
    <row r="1">
      <c r="A1" s="1" t="inlineStr">
        <is>
          <t>Student</t>
        </is>
      </c>
      <c r="B1" s="1" t="inlineStr">
        <is>
          <t>English</t>
        </is>
      </c>
      <c r="C1" s="1" t="inlineStr">
        <is>
          <t>Computer</t>
        </is>
      </c>
      <c r="D1" s="1" t="inlineStr">
        <is>
          <t>Mathematics</t>
        </is>
      </c>
      <c r="E1" s="1" t="inlineStr">
        <is>
          <t>Science</t>
        </is>
      </c>
      <c r="F1" s="1" t="inlineStr">
        <is>
          <t>Office Tools</t>
        </is>
      </c>
      <c r="G1" s="2" t="inlineStr">
        <is>
          <t>Total</t>
        </is>
      </c>
      <c r="H1" s="2" t="inlineStr">
        <is>
          <t>Average</t>
        </is>
      </c>
      <c r="I1" s="2" t="inlineStr">
        <is>
          <t>Result</t>
        </is>
      </c>
      <c r="K1" t="inlineStr">
        <is>
          <t>Class summary</t>
        </is>
      </c>
    </row>
    <row r="2">
      <c r="A2" s="3" t="inlineStr">
        <is>
          <t>Aarav Shah</t>
        </is>
      </c>
      <c r="B2" s="3" t="inlineStr">
        <is>
          <t>82</t>
        </is>
      </c>
      <c r="C2" s="3" t="inlineStr">
        <is>
          <t>91</t>
        </is>
      </c>
      <c r="D2" s="3" t="inlineStr">
        <is>
          <t>76</t>
        </is>
      </c>
      <c r="E2" s="3" t="inlineStr">
        <is>
          <t>88</t>
        </is>
      </c>
      <c r="F2" s="3" t="inlineStr">
        <is>
          <t>86</t>
        </is>
      </c>
      <c r="G2">
        <f>SUM(B2:F2)</f>
        <v/>
      </c>
      <c r="H2">
        <f>AVERAGE(B2:F2)</f>
        <v/>
      </c>
      <c r="I2">
        <f>IF(MIN(B2:F2)&gt;=40,"Pass","Needs Improvement")</f>
        <v/>
      </c>
      <c r="K2" t="inlineStr">
        <is>
          <t>Highest total</t>
        </is>
      </c>
      <c r="L2">
        <f>MAX(G2:G6)</f>
        <v/>
      </c>
    </row>
    <row r="3">
      <c r="A3" s="3" t="inlineStr">
        <is>
          <t>Diya Patel</t>
        </is>
      </c>
      <c r="B3" s="3" t="inlineStr">
        <is>
          <t>74</t>
        </is>
      </c>
      <c r="C3" s="3" t="inlineStr">
        <is>
          <t>85</t>
        </is>
      </c>
      <c r="D3" s="3" t="inlineStr">
        <is>
          <t>69</t>
        </is>
      </c>
      <c r="E3" s="3" t="inlineStr">
        <is>
          <t>77</t>
        </is>
      </c>
      <c r="F3" s="3" t="inlineStr">
        <is>
          <t>56</t>
        </is>
      </c>
      <c r="G3">
        <f>SUM(B3:F3)</f>
        <v/>
      </c>
      <c r="H3">
        <f>AVERAGE(B3:F3)</f>
        <v/>
      </c>
      <c r="I3">
        <f>IF(MIN(B3:F3)&gt;=40,"Pass","Needs Improvement")</f>
        <v/>
      </c>
      <c r="K3" t="inlineStr">
        <is>
          <t>Lowest total</t>
        </is>
      </c>
      <c r="L3">
        <f>MIN(G2:G6)</f>
        <v/>
      </c>
    </row>
    <row r="4">
      <c r="A4" s="3" t="inlineStr">
        <is>
          <t>Kabir Singh</t>
        </is>
      </c>
      <c r="B4" s="3" t="inlineStr">
        <is>
          <t>95</t>
        </is>
      </c>
      <c r="C4" s="3" t="inlineStr">
        <is>
          <t>98</t>
        </is>
      </c>
      <c r="D4" s="3" t="inlineStr">
        <is>
          <t>89</t>
        </is>
      </c>
      <c r="E4" s="3" t="inlineStr">
        <is>
          <t>91</t>
        </is>
      </c>
      <c r="F4" s="3" t="inlineStr">
        <is>
          <t>82</t>
        </is>
      </c>
      <c r="G4">
        <f>SUM(B4:F4)</f>
        <v/>
      </c>
      <c r="H4">
        <f>AVERAGE(B4:F4)</f>
        <v/>
      </c>
      <c r="I4">
        <f>IF(MIN(B4:F4)&gt;=40,"Pass","Needs Improvement")</f>
        <v/>
      </c>
      <c r="K4" t="inlineStr">
        <is>
          <t>Class average</t>
        </is>
      </c>
      <c r="L4">
        <f>AVERAGE(H2:H6)</f>
        <v/>
      </c>
    </row>
    <row r="5">
      <c r="A5" s="3" t="inlineStr">
        <is>
          <t>Meera Das</t>
        </is>
      </c>
      <c r="B5" s="3" t="inlineStr">
        <is>
          <t>61</t>
        </is>
      </c>
      <c r="C5" s="3" t="inlineStr">
        <is>
          <t>63</t>
        </is>
      </c>
      <c r="D5" s="3" t="inlineStr">
        <is>
          <t>42</t>
        </is>
      </c>
      <c r="E5" s="3" t="inlineStr">
        <is>
          <t>58</t>
        </is>
      </c>
      <c r="F5" s="3" t="inlineStr">
        <is>
          <t>59</t>
        </is>
      </c>
      <c r="G5">
        <f>SUM(B5:F5)</f>
        <v/>
      </c>
      <c r="H5">
        <f>AVERAGE(B5:F5)</f>
        <v/>
      </c>
      <c r="I5">
        <f>IF(MIN(B5:F5)&gt;=40,"Pass","Needs Improvement")</f>
        <v/>
      </c>
    </row>
    <row r="6">
      <c r="A6" s="3" t="inlineStr">
        <is>
          <t>Rohan Kumar</t>
        </is>
      </c>
      <c r="B6" s="3" t="inlineStr">
        <is>
          <t>78</t>
        </is>
      </c>
      <c r="C6" s="3" t="inlineStr">
        <is>
          <t>72</t>
        </is>
      </c>
      <c r="D6" s="3" t="inlineStr">
        <is>
          <t>80</t>
        </is>
      </c>
      <c r="E6" s="3" t="inlineStr">
        <is>
          <t>70</t>
        </is>
      </c>
      <c r="F6" s="3" t="inlineStr">
        <is>
          <t>84</t>
        </is>
      </c>
      <c r="G6">
        <f>SUM(B6:F6)</f>
        <v/>
      </c>
      <c r="H6">
        <f>AVERAGE(B6:F6)</f>
        <v/>
      </c>
      <c r="I6">
        <f>IF(MIN(B6:F6)&gt;=40,"Pass","Needs Improvement")</f>
        <v/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8" customWidth="1" min="8" max="8"/>
    <col width="14" customWidth="1" min="9" max="9"/>
    <col width="25" customWidth="1" min="10" max="10"/>
  </cols>
  <sheetData>
    <row r="1">
      <c r="A1" s="1" t="inlineStr">
        <is>
          <t>Student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2" t="inlineStr">
        <is>
          <t>Present Days</t>
        </is>
      </c>
      <c r="H1" s="2" t="inlineStr">
        <is>
          <t>Working Days</t>
        </is>
      </c>
      <c r="I1" s="2" t="inlineStr">
        <is>
          <t>Attendance %</t>
        </is>
      </c>
      <c r="J1" s="2" t="inlineStr">
        <is>
          <t>Status</t>
        </is>
      </c>
    </row>
    <row r="2">
      <c r="A2" s="3" t="inlineStr">
        <is>
          <t>Aarav Shah</t>
        </is>
      </c>
      <c r="B2" s="3" t="inlineStr">
        <is>
          <t>P</t>
        </is>
      </c>
      <c r="C2" s="3" t="inlineStr">
        <is>
          <t>P</t>
        </is>
      </c>
      <c r="D2" s="3" t="inlineStr">
        <is>
          <t>P</t>
        </is>
      </c>
      <c r="E2" s="3" t="inlineStr">
        <is>
          <t>A</t>
        </is>
      </c>
      <c r="F2" s="3" t="inlineStr">
        <is>
          <t>P</t>
        </is>
      </c>
      <c r="G2">
        <f>COUNTIF(B2:F2,"P")</f>
        <v/>
      </c>
      <c r="H2">
        <f>COUNTA(B$1:F$1)</f>
        <v/>
      </c>
      <c r="I2">
        <f>G2/H2*100</f>
        <v/>
      </c>
      <c r="J2">
        <f>IF(I2&gt;=75,"Eligible","Below 75%")</f>
        <v/>
      </c>
    </row>
    <row r="3">
      <c r="A3" s="3" t="inlineStr">
        <is>
          <t>Diya Patel</t>
        </is>
      </c>
      <c r="B3" s="3" t="inlineStr">
        <is>
          <t>P</t>
        </is>
      </c>
      <c r="C3" s="3" t="inlineStr">
        <is>
          <t>A</t>
        </is>
      </c>
      <c r="D3" s="3" t="inlineStr">
        <is>
          <t>P</t>
        </is>
      </c>
      <c r="E3" s="3" t="inlineStr">
        <is>
          <t>P</t>
        </is>
      </c>
      <c r="F3" s="3" t="inlineStr">
        <is>
          <t>A</t>
        </is>
      </c>
      <c r="G3">
        <f>COUNTIF(B3:F3,"P")</f>
        <v/>
      </c>
      <c r="H3">
        <f>COUNTA(B$1:F$1)</f>
        <v/>
      </c>
      <c r="I3">
        <f>G3/H3*100</f>
        <v/>
      </c>
      <c r="J3">
        <f>IF(I3&gt;=75,"Eligible","Below 75%")</f>
        <v/>
      </c>
    </row>
    <row r="4">
      <c r="A4" s="3" t="inlineStr">
        <is>
          <t>Kabir Singh</t>
        </is>
      </c>
      <c r="B4" s="3" t="inlineStr">
        <is>
          <t>P</t>
        </is>
      </c>
      <c r="C4" s="3" t="inlineStr">
        <is>
          <t>P</t>
        </is>
      </c>
      <c r="D4" s="3" t="inlineStr">
        <is>
          <t>P</t>
        </is>
      </c>
      <c r="E4" s="3" t="inlineStr">
        <is>
          <t>P</t>
        </is>
      </c>
      <c r="F4" s="3" t="inlineStr">
        <is>
          <t>P</t>
        </is>
      </c>
      <c r="G4">
        <f>COUNTIF(B4:F4,"P")</f>
        <v/>
      </c>
      <c r="H4">
        <f>COUNTA(B$1:F$1)</f>
        <v/>
      </c>
      <c r="I4">
        <f>G4/H4*100</f>
        <v/>
      </c>
      <c r="J4">
        <f>IF(I4&gt;=75,"Eligible","Below 75%")</f>
        <v/>
      </c>
    </row>
    <row r="5">
      <c r="A5" s="3" t="inlineStr">
        <is>
          <t>Meera Das</t>
        </is>
      </c>
      <c r="B5" s="3" t="inlineStr">
        <is>
          <t>A</t>
        </is>
      </c>
      <c r="C5" s="3" t="inlineStr">
        <is>
          <t>P</t>
        </is>
      </c>
      <c r="D5" s="3" t="inlineStr">
        <is>
          <t>A</t>
        </is>
      </c>
      <c r="E5" s="3" t="inlineStr">
        <is>
          <t>P</t>
        </is>
      </c>
      <c r="F5" s="3" t="inlineStr">
        <is>
          <t>P</t>
        </is>
      </c>
      <c r="G5">
        <f>COUNTIF(B5:F5,"P")</f>
        <v/>
      </c>
      <c r="H5">
        <f>COUNTA(B$1:F$1)</f>
        <v/>
      </c>
      <c r="I5">
        <f>G5/H5*100</f>
        <v/>
      </c>
      <c r="J5">
        <f>IF(I5&gt;=75,"Eligible","Below 75%")</f>
        <v/>
      </c>
    </row>
    <row r="6">
      <c r="A6" s="3" t="inlineStr">
        <is>
          <t>Rohan Kumar</t>
        </is>
      </c>
      <c r="B6" s="3" t="inlineStr">
        <is>
          <t>P</t>
        </is>
      </c>
      <c r="C6" s="3" t="inlineStr">
        <is>
          <t>P</t>
        </is>
      </c>
      <c r="D6" s="3" t="inlineStr">
        <is>
          <t>A</t>
        </is>
      </c>
      <c r="E6" s="3" t="inlineStr">
        <is>
          <t>P</t>
        </is>
      </c>
      <c r="F6" s="3" t="inlineStr">
        <is>
          <t>P</t>
        </is>
      </c>
      <c r="G6">
        <f>COUNTIF(B6:F6,"P")</f>
        <v/>
      </c>
      <c r="H6">
        <f>COUNTA(B$1:F$1)</f>
        <v/>
      </c>
      <c r="I6">
        <f>G6/H6*100</f>
        <v/>
      </c>
      <c r="J6">
        <f>IF(I6&gt;=75,"Eligible","Below 75%")</f>
        <v/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EmployeeID</t>
        </is>
      </c>
      <c r="B1" s="1" t="inlineStr">
        <is>
          <t>Employee</t>
        </is>
      </c>
      <c r="C1" s="1" t="inlineStr">
        <is>
          <t>BasicSalary</t>
        </is>
      </c>
      <c r="D1" s="2" t="inlineStr">
        <is>
          <t>Allowance</t>
        </is>
      </c>
      <c r="E1" s="2" t="inlineStr">
        <is>
          <t>Deduction</t>
        </is>
      </c>
      <c r="F1" s="2" t="inlineStr">
        <is>
          <t>Gross Salary</t>
        </is>
      </c>
      <c r="G1" s="2" t="inlineStr">
        <is>
          <t>Net Salary</t>
        </is>
      </c>
    </row>
    <row r="2">
      <c r="A2" s="3" t="inlineStr">
        <is>
          <t>E001</t>
        </is>
      </c>
      <c r="B2" s="3" t="inlineStr">
        <is>
          <t>Aarav Shah</t>
        </is>
      </c>
      <c r="C2" s="4" t="inlineStr">
        <is>
          <t>25000</t>
        </is>
      </c>
      <c r="D2" s="5">
        <f>C2*10%</f>
        <v/>
      </c>
      <c r="E2" s="5">
        <f>C2*5%</f>
        <v/>
      </c>
      <c r="F2" s="5">
        <f>C2+D2</f>
        <v/>
      </c>
      <c r="G2" s="5">
        <f>F2-E2</f>
        <v/>
      </c>
    </row>
    <row r="3">
      <c r="A3" s="3" t="inlineStr">
        <is>
          <t>E002</t>
        </is>
      </c>
      <c r="B3" s="3" t="inlineStr">
        <is>
          <t>Diya Patel</t>
        </is>
      </c>
      <c r="C3" s="4" t="inlineStr">
        <is>
          <t>28000</t>
        </is>
      </c>
      <c r="D3" s="5">
        <f>C3*10%</f>
        <v/>
      </c>
      <c r="E3" s="5">
        <f>C3*5%</f>
        <v/>
      </c>
      <c r="F3" s="5">
        <f>C3+D3</f>
        <v/>
      </c>
      <c r="G3" s="5">
        <f>F3-E3</f>
        <v/>
      </c>
    </row>
    <row r="4">
      <c r="A4" s="3" t="inlineStr">
        <is>
          <t>E003</t>
        </is>
      </c>
      <c r="B4" s="3" t="inlineStr">
        <is>
          <t>Kabir Singh</t>
        </is>
      </c>
      <c r="C4" s="4" t="inlineStr">
        <is>
          <t>32000</t>
        </is>
      </c>
      <c r="D4" s="5">
        <f>C4*10%</f>
        <v/>
      </c>
      <c r="E4" s="5">
        <f>C4*5%</f>
        <v/>
      </c>
      <c r="F4" s="5">
        <f>C4+D4</f>
        <v/>
      </c>
      <c r="G4" s="5">
        <f>F4-E4</f>
        <v/>
      </c>
    </row>
    <row r="5">
      <c r="A5" s="3" t="inlineStr">
        <is>
          <t>E004</t>
        </is>
      </c>
      <c r="B5" s="3" t="inlineStr">
        <is>
          <t>Meera Das</t>
        </is>
      </c>
      <c r="C5" s="4" t="inlineStr">
        <is>
          <t>24000</t>
        </is>
      </c>
      <c r="D5" s="5">
        <f>C5*10%</f>
        <v/>
      </c>
      <c r="E5" s="5">
        <f>C5*5%</f>
        <v/>
      </c>
      <c r="F5" s="5">
        <f>C5+D5</f>
        <v/>
      </c>
      <c r="G5" s="5">
        <f>F5-E5</f>
        <v/>
      </c>
    </row>
    <row r="6">
      <c r="A6" s="3" t="inlineStr">
        <is>
          <t>E005</t>
        </is>
      </c>
      <c r="B6" s="3" t="inlineStr">
        <is>
          <t>Rohan Kumar</t>
        </is>
      </c>
      <c r="C6" s="4" t="inlineStr">
        <is>
          <t>30000</t>
        </is>
      </c>
      <c r="D6" s="5">
        <f>C6*10%</f>
        <v/>
      </c>
      <c r="E6" s="5">
        <f>C6*5%</f>
        <v/>
      </c>
      <c r="F6" s="5">
        <f>C6+D6</f>
        <v/>
      </c>
      <c r="G6" s="5">
        <f>F6-E6</f>
        <v/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3" customWidth="1" min="5" max="5"/>
    <col width="25" customWidth="1" min="6" max="6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UnitPrice</t>
        </is>
      </c>
      <c r="D1" s="1" t="inlineStr">
        <is>
          <t>ReorderLevel</t>
        </is>
      </c>
      <c r="E1" s="2" t="inlineStr">
        <is>
          <t>Stock Value</t>
        </is>
      </c>
      <c r="F1" s="2" t="inlineStr">
        <is>
          <t>Reorder Status</t>
        </is>
      </c>
    </row>
    <row r="2">
      <c r="A2" s="3" t="inlineStr">
        <is>
          <t>Notebook</t>
        </is>
      </c>
      <c r="B2" s="3" t="inlineStr">
        <is>
          <t>45</t>
        </is>
      </c>
      <c r="C2" s="4" t="inlineStr">
        <is>
          <t>35</t>
        </is>
      </c>
      <c r="D2" s="3" t="inlineStr">
        <is>
          <t>20</t>
        </is>
      </c>
      <c r="E2" s="5">
        <f>B2*C2</f>
        <v/>
      </c>
      <c r="F2">
        <f>IF(B2&lt;=D2,"Reorder","Sufficient")</f>
        <v/>
      </c>
    </row>
    <row r="3">
      <c r="A3" s="3" t="inlineStr">
        <is>
          <t>Pen</t>
        </is>
      </c>
      <c r="B3" s="3" t="inlineStr">
        <is>
          <t>18</t>
        </is>
      </c>
      <c r="C3" s="4" t="inlineStr">
        <is>
          <t>10</t>
        </is>
      </c>
      <c r="D3" s="3" t="inlineStr">
        <is>
          <t>25</t>
        </is>
      </c>
      <c r="E3" s="5">
        <f>B3*C3</f>
        <v/>
      </c>
      <c r="F3">
        <f>IF(B3&lt;=D3,"Reorder","Sufficient")</f>
        <v/>
      </c>
    </row>
    <row r="4">
      <c r="A4" s="3" t="inlineStr">
        <is>
          <t>USB Drive 32GB</t>
        </is>
      </c>
      <c r="B4" s="3" t="inlineStr">
        <is>
          <t>12</t>
        </is>
      </c>
      <c r="C4" s="4" t="inlineStr">
        <is>
          <t>450</t>
        </is>
      </c>
      <c r="D4" s="3" t="inlineStr">
        <is>
          <t>10</t>
        </is>
      </c>
      <c r="E4" s="5">
        <f>B4*C4</f>
        <v/>
      </c>
      <c r="F4">
        <f>IF(B4&lt;=D4,"Reorder","Sufficient")</f>
        <v/>
      </c>
    </row>
    <row r="5">
      <c r="A5" s="3" t="inlineStr">
        <is>
          <t>Headphones</t>
        </is>
      </c>
      <c r="B5" s="3" t="inlineStr">
        <is>
          <t>8</t>
        </is>
      </c>
      <c r="C5" s="4" t="inlineStr">
        <is>
          <t>750</t>
        </is>
      </c>
      <c r="D5" s="3" t="inlineStr">
        <is>
          <t>10</t>
        </is>
      </c>
      <c r="E5" s="5">
        <f>B5*C5</f>
        <v/>
      </c>
      <c r="F5">
        <f>IF(B5&lt;=D5,"Reorder","Sufficient")</f>
        <v/>
      </c>
    </row>
    <row r="6">
      <c r="A6" s="3" t="inlineStr">
        <is>
          <t>Printer Paper Ream</t>
        </is>
      </c>
      <c r="B6" s="3" t="inlineStr">
        <is>
          <t>30</t>
        </is>
      </c>
      <c r="C6" s="4" t="inlineStr">
        <is>
          <t>280</t>
        </is>
      </c>
      <c r="D6" s="3" t="inlineStr">
        <is>
          <t>15</t>
        </is>
      </c>
      <c r="E6" s="5">
        <f>B6*C6</f>
        <v/>
      </c>
      <c r="F6">
        <f>IF(B6&lt;=D6,"Reorder","Sufficient")</f>
        <v/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2026-10-11T19:55:14Z</dcterms:created>
  <dcterms:modified xmlns:dcterms="http://purl.org/dc/terms/" xmlns:xsi="http://www.w3.org/2001/XMLSchema-instance" xsi:type="dcterms:W3CDTF">2026-10-11T19:55:14Z</dcterms:modified>
</cp:coreProperties>
</file>